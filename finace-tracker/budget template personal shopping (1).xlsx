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87DA840-1017-4F27-90BD-836F9B3C19DA}" xr6:coauthVersionLast="43" xr6:coauthVersionMax="47" xr10:uidLastSave="{00000000-0000-0000-0000-000000000000}"/>
  <bookViews>
    <workbookView xWindow="-108" yWindow="-108" windowWidth="23256" windowHeight="13176" xr2:uid="{B50B4AC8-0E36-4866-A1EF-0385563635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17" i="1" l="1"/>
  <c r="N16" i="1"/>
  <c r="N17" i="1" s="1"/>
  <c r="F15" i="1"/>
</calcChain>
</file>

<file path=xl/sharedStrings.xml><?xml version="1.0" encoding="utf-8"?>
<sst xmlns="http://schemas.openxmlformats.org/spreadsheetml/2006/main" count="33" uniqueCount="33">
  <si>
    <t>stainless set + sauce pan</t>
  </si>
  <si>
    <t>ankara fabrics</t>
  </si>
  <si>
    <t xml:space="preserve">teman </t>
  </si>
  <si>
    <t>cashmere</t>
  </si>
  <si>
    <t>floor mat</t>
  </si>
  <si>
    <t>wall décor</t>
  </si>
  <si>
    <t>bedsheet</t>
  </si>
  <si>
    <t>toiletries</t>
  </si>
  <si>
    <t>groceries</t>
  </si>
  <si>
    <t>Meat</t>
  </si>
  <si>
    <t>frozen protein n others</t>
  </si>
  <si>
    <t>Tithe</t>
  </si>
  <si>
    <t>Tosins office feeding</t>
  </si>
  <si>
    <t>Miscalenous</t>
  </si>
  <si>
    <t>Frozen protein n others</t>
  </si>
  <si>
    <t>Toiletries</t>
  </si>
  <si>
    <t>Groceries</t>
  </si>
  <si>
    <t>Self care</t>
  </si>
  <si>
    <t>Weekly Veggies &amp; Water</t>
  </si>
  <si>
    <t>Savings</t>
  </si>
  <si>
    <t>Meat/Pepper</t>
  </si>
  <si>
    <t>Personal inside garments</t>
  </si>
  <si>
    <t>satin wear</t>
  </si>
  <si>
    <t>hakmek/bed sheets</t>
  </si>
  <si>
    <t>medication</t>
  </si>
  <si>
    <t>Fuel</t>
  </si>
  <si>
    <t>crocker</t>
  </si>
  <si>
    <t>turkey</t>
  </si>
  <si>
    <t>titus</t>
  </si>
  <si>
    <t>chicken</t>
  </si>
  <si>
    <t>gari</t>
  </si>
  <si>
    <t>yam</t>
  </si>
  <si>
    <t xml:space="preserve">palm oil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</si>
</sst>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1" applyNumberFormat="1" applyFont="1"/>
    <xf numFmtId="0" fontId="0" fillId="2" borderId="0" xfId="0" applyFill="1"/>
    <xf numFmtId="0" fontId="2" fillId="2" borderId="0" xfId="0" applyFont="1" applyFill="1"/>
    <xf numFmtId="43" fontId="2" fillId="0" borderId="0" xfId="1" applyNumberFormat="1" applyFont="1" applyAlignment="1">
      <alignment horizontal="right"/>
    </xf>
    <xf numFmtId="43" fontId="0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E2BE5-E4D6-44ED-AC5E-B4EB56484B19}">
  <dimension ref="C2:N17"/>
  <sheetViews>
    <sheetView tabSelected="1" workbookViewId="0">
      <selection activeCell="N17" sqref="N17"/>
    </sheetView>
  </sheetViews>
  <sheetFormatPr defaultRowHeight="13.8"/>
  <cols>
    <col min="11" max="11" width="11.19921875" bestFit="1" customWidth="1"/>
    <col min="13" max="13" width="21.796875" customWidth="1"/>
    <col min="14" max="14" width="13.796875" style="7" bestFit="1" customWidth="1"/>
    <col min="15" max="15" width="11.5" customWidth="1"/>
  </cols>
  <sheetData>
    <row r="2" spans="3:14">
      <c r="N2" s="6">
        <v>5000000</v>
      </c>
    </row>
    <row r="3" spans="3:14">
      <c r="C3" s="4" t="s">
        <v>1</v>
      </c>
      <c r="D3" s="4"/>
      <c r="E3" s="4"/>
      <c r="F3" s="5">
        <v>20</v>
      </c>
      <c r="G3">
        <v>50</v>
      </c>
      <c r="H3" s="1" t="s">
        <v>9</v>
      </c>
      <c r="I3" s="1"/>
      <c r="J3" s="1"/>
      <c r="K3" s="3">
        <v>100000</v>
      </c>
      <c r="M3" t="s">
        <v>11</v>
      </c>
      <c r="N3" s="7">
        <v>228500</v>
      </c>
    </row>
    <row r="4" spans="3:14">
      <c r="C4" s="4" t="s">
        <v>22</v>
      </c>
      <c r="D4" s="4"/>
      <c r="E4" s="4"/>
      <c r="F4" s="5">
        <v>80</v>
      </c>
      <c r="G4">
        <v>150</v>
      </c>
      <c r="H4" s="1" t="s">
        <v>10</v>
      </c>
      <c r="I4" s="1"/>
      <c r="J4" s="1"/>
      <c r="K4" s="3">
        <v>150000</v>
      </c>
      <c r="M4" t="s">
        <v>19</v>
      </c>
      <c r="N4" s="7">
        <v>700000</v>
      </c>
    </row>
    <row r="5" spans="3:14">
      <c r="C5" s="4" t="s">
        <v>2</v>
      </c>
      <c r="D5" s="4"/>
      <c r="E5" s="4"/>
      <c r="F5" s="5">
        <v>270</v>
      </c>
      <c r="G5">
        <v>20</v>
      </c>
      <c r="H5" s="1" t="s">
        <v>7</v>
      </c>
      <c r="I5" s="1"/>
      <c r="J5" s="1"/>
      <c r="K5" s="3">
        <v>100000</v>
      </c>
      <c r="M5" s="1" t="s">
        <v>20</v>
      </c>
      <c r="N5" s="7">
        <v>80000</v>
      </c>
    </row>
    <row r="6" spans="3:14">
      <c r="C6" s="4" t="s">
        <v>23</v>
      </c>
      <c r="F6" s="5">
        <v>80</v>
      </c>
      <c r="G6">
        <v>45</v>
      </c>
      <c r="H6" s="1" t="s">
        <v>8</v>
      </c>
      <c r="I6" s="1"/>
      <c r="J6" s="1"/>
      <c r="K6" s="3">
        <v>400000</v>
      </c>
      <c r="M6" s="1" t="s">
        <v>14</v>
      </c>
      <c r="N6" s="7">
        <v>127500</v>
      </c>
    </row>
    <row r="7" spans="3:14">
      <c r="C7" t="s">
        <v>3</v>
      </c>
      <c r="F7">
        <v>50</v>
      </c>
      <c r="G7">
        <v>80</v>
      </c>
      <c r="M7" s="1" t="s">
        <v>15</v>
      </c>
      <c r="N7" s="7">
        <v>50000</v>
      </c>
    </row>
    <row r="8" spans="3:14">
      <c r="C8" t="s">
        <v>4</v>
      </c>
      <c r="F8">
        <v>100</v>
      </c>
      <c r="G8">
        <v>85</v>
      </c>
      <c r="M8" s="1" t="s">
        <v>16</v>
      </c>
      <c r="N8" s="7">
        <v>300000</v>
      </c>
    </row>
    <row r="9" spans="3:14">
      <c r="C9" t="s">
        <v>5</v>
      </c>
      <c r="F9">
        <v>20</v>
      </c>
      <c r="G9">
        <v>50</v>
      </c>
      <c r="M9" s="1" t="s">
        <v>21</v>
      </c>
      <c r="N9" s="7">
        <v>49000</v>
      </c>
    </row>
    <row r="10" spans="3:14">
      <c r="C10" t="s">
        <v>0</v>
      </c>
      <c r="F10" s="2">
        <v>150</v>
      </c>
      <c r="H10" t="s">
        <v>26</v>
      </c>
      <c r="I10">
        <v>30</v>
      </c>
      <c r="M10" s="1" t="s">
        <v>24</v>
      </c>
      <c r="N10" s="7">
        <v>50000</v>
      </c>
    </row>
    <row r="11" spans="3:14">
      <c r="H11" t="s">
        <v>27</v>
      </c>
      <c r="I11">
        <v>30</v>
      </c>
      <c r="M11" s="1" t="s">
        <v>17</v>
      </c>
      <c r="N11" s="7">
        <v>400000</v>
      </c>
    </row>
    <row r="12" spans="3:14">
      <c r="H12" t="s">
        <v>28</v>
      </c>
      <c r="I12">
        <v>20</v>
      </c>
      <c r="M12" s="1" t="s">
        <v>12</v>
      </c>
      <c r="N12" s="7">
        <v>100000</v>
      </c>
    </row>
    <row r="13" spans="3:14">
      <c r="C13" t="s">
        <v>6</v>
      </c>
      <c r="F13">
        <v>100</v>
      </c>
      <c r="H13" t="s">
        <v>29</v>
      </c>
      <c r="I13">
        <v>20</v>
      </c>
      <c r="M13" s="1" t="s">
        <v>13</v>
      </c>
      <c r="N13" s="7">
        <v>30000</v>
      </c>
    </row>
    <row r="14" spans="3:14">
      <c r="H14" t="s">
        <v>30</v>
      </c>
      <c r="I14">
        <v>9</v>
      </c>
      <c r="M14" s="1" t="s">
        <v>18</v>
      </c>
      <c r="N14" s="7">
        <v>30000</v>
      </c>
    </row>
    <row r="15" spans="3:14">
      <c r="F15">
        <f>48+45+80+80+40</f>
        <v>293</v>
      </c>
      <c r="H15" t="s">
        <v>31</v>
      </c>
      <c r="I15">
        <v>9</v>
      </c>
      <c r="M15" s="1" t="s">
        <v>25</v>
      </c>
      <c r="N15" s="7">
        <v>140000</v>
      </c>
    </row>
    <row r="16" spans="3:14">
      <c r="H16" t="s">
        <v>32</v>
      </c>
      <c r="I16">
        <v>10</v>
      </c>
      <c r="N16" s="7">
        <f>SUM(N3:N15)</f>
        <v>2285000</v>
      </c>
    </row>
    <row r="17" spans="9:14">
      <c r="I17">
        <f>SUM(I10:I16)</f>
        <v>128</v>
      </c>
      <c r="N17" s="6">
        <f>N16-N2</f>
        <v>-2715000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Akinpelumi, Oluwatosin</dc:creator>
  <cp:lastModifiedBy>HP</cp:lastModifiedBy>
  <dcterms:created xsi:type="dcterms:W3CDTF">2025-10-07T12:56:01Z</dcterms:created>
  <dcterms:modified xsi:type="dcterms:W3CDTF">2026-09-27T10:12:05Z</dcterms:modified>
</cp:coreProperties>
</file>